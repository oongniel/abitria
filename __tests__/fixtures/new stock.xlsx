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defaultThemeVersion="202300"/>
  <xr:revisionPtr revIDLastSave="405" documentId="7_{BD644F49-9F86-CE44-9D19-076B68D0C8AC}" xr6:coauthVersionLast="47" xr6:coauthVersionMax="47" xr10:uidLastSave="{DAA3D116-B5EC-4F44-8D82-5E51FEC6C765}"/>
  <bookViews>
    <workbookView xWindow="0" yWindow="0" windowWidth="0" windowHeight="0" xr2:uid="{00000000-000D-0000-FFFF-FFFF00000000}"/>
  </bookViews>
  <sheets>
    <sheet name="new stock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 a="1"/>
  <c r="I2" i="1" a="1"/>
  <c r="I15" i="1"/>
  <c r="I16" i="1"/>
  <c r="I17" i="1"/>
  <c r="I18" i="1"/>
  <c r="H2" i="1" a="1"/>
  <c r="H15" i="1"/>
  <c r="G15" i="1"/>
  <c r="F2" i="1" a="1"/>
  <c r="K2" i="1" a="1"/>
  <c r="J2" i="1" a="1"/>
  <c r="L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<sst xmlns="http://schemas.openxmlformats.org/spreadsheetml/2006/main" count="44" uniqueCount="43">
  <si>
    <t xml:space="preserve">Brand </t>
  </si>
  <si>
    <t xml:space="preserve">Perfume Name </t>
  </si>
  <si>
    <t xml:space="preserve">Stock </t>
  </si>
  <si>
    <t xml:space="preserve">Arabiyat Prestige </t>
  </si>
  <si>
    <t>Nyla Sherbet</t>
  </si>
  <si>
    <t>Khadlaj</t>
  </si>
  <si>
    <t>Lataffa</t>
  </si>
  <si>
    <t>French avenue</t>
  </si>
  <si>
    <t>Liquid Brun</t>
  </si>
  <si>
    <t>Nyla Vanille</t>
  </si>
  <si>
    <t>Maison Alhambra</t>
  </si>
  <si>
    <t>Shiyakaa shadow</t>
  </si>
  <si>
    <t>Shiyakaa Snow</t>
  </si>
  <si>
    <t>Delilah Pink</t>
  </si>
  <si>
    <t>Rasasi</t>
  </si>
  <si>
    <t>Rasasi thunder</t>
  </si>
  <si>
    <t>Rasasi Kobra</t>
  </si>
  <si>
    <t>Lattafa</t>
  </si>
  <si>
    <t>Hayaati florence</t>
  </si>
  <si>
    <t>Ana abiyedh coral</t>
  </si>
  <si>
    <t xml:space="preserve">Rayhaan </t>
  </si>
  <si>
    <t>Lion</t>
  </si>
  <si>
    <t>Hawas Him</t>
  </si>
  <si>
    <t>Marwa Arabiyat</t>
  </si>
  <si>
    <t>less com</t>
  </si>
  <si>
    <t>capital</t>
  </si>
  <si>
    <t>cost</t>
  </si>
  <si>
    <t>sales</t>
  </si>
  <si>
    <t>stock value</t>
  </si>
  <si>
    <t>Margin%</t>
  </si>
  <si>
    <t>cost ph</t>
  </si>
  <si>
    <t>Margin value</t>
  </si>
  <si>
    <t>retail price</t>
  </si>
  <si>
    <t>total sales</t>
  </si>
  <si>
    <t>total value</t>
  </si>
  <si>
    <t>net profit</t>
  </si>
  <si>
    <t>net profit each</t>
  </si>
  <si>
    <t>yet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</si>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</sst>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2">
    <xf numFmtId="0" fontId="0" fillId="0" borderId="0"/>
    <xf numFmtId="0" fontId="2" fillId="3" borderId="2" applyNumberFormat="0" applyFont="0" applyAlignment="0" applyProtection="0"/>
  </cellStyleXfs>
  <cellXfs count="17">
    <xf numFmtId="0" fontId="0" fillId="0" borderId="0" xfId="0"/>
    <xf numFmtId="1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3" borderId="2" xfId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FDB2-4938-454F-A608-51C2D6BF468A}">
  <dimension ref="A1:L24"/>
  <sheetViews>
    <sheetView tabSelected="1" zoomScaleNormal="60" zoomScaleSheetLayoutView="100" workbookViewId="0">
      <selection activeCell="C36" sqref="C36"/>
    </sheetView>
  </sheetViews>
  <sheetFormatPr defaultRowHeight="15" x14ac:dyDescent="0.2"/>
  <cols>
    <col min="1" max="1" width="18.83203125" customWidth="1"/>
    <col min="2" max="2" width="13.046875" customWidth="1"/>
    <col min="3" max="3" width="13.71875" customWidth="1"/>
    <col min="4" max="4" width="23.13671875" customWidth="1"/>
    <col min="5" max="5" width="13.44921875" style="4" customWidth="1"/>
    <col min="6" max="6" width="13.44921875" customWidth="1"/>
    <col min="8" max="8" width="11.703125" customWidth="1"/>
    <col min="9" max="9" width="10.625" bestFit="1" customWidth="1"/>
    <col min="10" max="10" width="15.73828125" customWidth="1"/>
    <col min="11" max="11" width="13.046875" style="1" bestFit="1" customWidth="1"/>
    <col min="12" max="12" width="12.5078125" customWidth="1"/>
  </cols>
  <sheetData>
    <row r="1" spans="1:12" x14ac:dyDescent="0.2">
      <c r="A1" s="2" t="s">
        <v>0</v>
      </c>
      <c r="B1" s="2" t="s">
        <v>32</v>
      </c>
      <c r="C1" s="2" t="s">
        <v>24</v>
      </c>
      <c r="D1" s="2" t="s">
        <v>1</v>
      </c>
      <c r="E1" s="2" t="s">
        <v>26</v>
      </c>
      <c r="F1" s="2" t="s">
        <v>30</v>
      </c>
      <c r="G1" s="2" t="s">
        <v>2</v>
      </c>
      <c r="H1" s="2" t="s">
        <v>34</v>
      </c>
      <c r="I1" s="2" t="s">
        <v>27</v>
      </c>
      <c r="J1" s="2" t="s">
        <v>28</v>
      </c>
      <c r="K1" s="5" t="s">
        <v>29</v>
      </c>
      <c r="L1" s="5" t="s">
        <v>31</v>
      </c>
    </row>
    <row r="2" spans="1:12" x14ac:dyDescent="0.2">
      <c r="A2" s="6" t="s">
        <v>7</v>
      </c>
      <c r="B2" s="3">
        <v>2650</v>
      </c>
      <c r="C2" s="3" cm="1">
        <f t="array" ref="C2:C14">B2:B14- 300</f>
        <v>2350</v>
      </c>
      <c r="D2" s="3" t="s">
        <v>8</v>
      </c>
      <c r="E2" s="3">
        <v>86</v>
      </c>
      <c r="F2" s="3" cm="1">
        <f t="array" ref="F2:F14">E2:E14*17</f>
        <v>1462</v>
      </c>
      <c r="G2" s="3">
        <v>6</v>
      </c>
      <c r="H2" s="3" cm="1">
        <f t="array" ref="H2:H14">E2:E14* G2:G14</f>
        <v>516</v>
      </c>
      <c r="I2" s="3" cm="1">
        <f t="array" ref="I2:I14">_xlfn.ANCHORARRAY(C2)* G2:G14</f>
        <v>14100</v>
      </c>
      <c r="J2" s="7" cm="1">
        <f t="array" ref="J2:J14">E2:E14 * G2:G14</f>
        <v>516</v>
      </c>
      <c r="K2" s="8" cm="1">
        <f t="array" ref="K2:K14">(_xlfn.ANCHORARRAY(C2)-_xlfn.ANCHORARRAY(F2))/_xlfn.ANCHORARRAY(C2)*100%</f>
        <v>0.37787234042553192</v>
      </c>
      <c r="L2" s="3" cm="1">
        <f t="array" ref="L2:L14">_xlfn.ANCHORARRAY(C2)-_xlfn.ANCHORARRAY(F2)</f>
        <v>888</v>
      </c>
    </row>
    <row r="3" spans="1:12" x14ac:dyDescent="0.2">
      <c r="A3" s="6" t="s">
        <v>3</v>
      </c>
      <c r="B3" s="3">
        <v>2150</v>
      </c>
      <c r="C3" s="3">
        <v>1850</v>
      </c>
      <c r="D3" s="3" t="s">
        <v>4</v>
      </c>
      <c r="E3" s="3">
        <v>40</v>
      </c>
      <c r="F3" s="3">
        <v>680</v>
      </c>
      <c r="G3" s="3">
        <v>4</v>
      </c>
      <c r="H3" s="3">
        <v>160</v>
      </c>
      <c r="I3" s="3">
        <v>7400</v>
      </c>
      <c r="J3" s="7">
        <v>160</v>
      </c>
      <c r="K3" s="8">
        <v>0.63243243243243241</v>
      </c>
      <c r="L3" s="3">
        <v>1170</v>
      </c>
    </row>
    <row r="4" spans="1:12" x14ac:dyDescent="0.2">
      <c r="A4" s="6" t="s">
        <v>3</v>
      </c>
      <c r="B4" s="3">
        <v>2150</v>
      </c>
      <c r="C4" s="3">
        <v>1850</v>
      </c>
      <c r="D4" s="3" t="s">
        <v>9</v>
      </c>
      <c r="E4" s="3">
        <v>40</v>
      </c>
      <c r="F4" s="3">
        <v>680</v>
      </c>
      <c r="G4" s="3">
        <v>4</v>
      </c>
      <c r="H4" s="3">
        <v>160</v>
      </c>
      <c r="I4" s="3">
        <v>7400</v>
      </c>
      <c r="J4" s="7">
        <v>160</v>
      </c>
      <c r="K4" s="8">
        <v>0.63243243243243241</v>
      </c>
      <c r="L4" s="3">
        <v>1170</v>
      </c>
    </row>
    <row r="5" spans="1:12" x14ac:dyDescent="0.2">
      <c r="A5" s="6" t="s">
        <v>3</v>
      </c>
      <c r="B5" s="3">
        <v>2950</v>
      </c>
      <c r="C5" s="3">
        <v>2650</v>
      </c>
      <c r="D5" s="3" t="s">
        <v>23</v>
      </c>
      <c r="E5" s="3">
        <v>87</v>
      </c>
      <c r="F5" s="3">
        <v>1479</v>
      </c>
      <c r="G5" s="3">
        <v>6</v>
      </c>
      <c r="H5" s="3">
        <v>522</v>
      </c>
      <c r="I5" s="3">
        <v>15900</v>
      </c>
      <c r="J5" s="7">
        <v>522</v>
      </c>
      <c r="K5" s="8">
        <v>0.44188679245283019</v>
      </c>
      <c r="L5" s="3">
        <v>1171</v>
      </c>
    </row>
    <row r="6" spans="1:12" x14ac:dyDescent="0.2">
      <c r="A6" s="6" t="s">
        <v>10</v>
      </c>
      <c r="B6" s="3">
        <v>1500</v>
      </c>
      <c r="C6" s="3">
        <v>1200</v>
      </c>
      <c r="D6" s="3" t="s">
        <v>13</v>
      </c>
      <c r="E6" s="3">
        <v>34</v>
      </c>
      <c r="F6" s="3">
        <v>578</v>
      </c>
      <c r="G6" s="3">
        <v>12</v>
      </c>
      <c r="H6" s="3">
        <v>408</v>
      </c>
      <c r="I6" s="3">
        <v>14400</v>
      </c>
      <c r="J6" s="7">
        <v>408</v>
      </c>
      <c r="K6" s="8">
        <v>0.51833333333333331</v>
      </c>
      <c r="L6" s="3">
        <v>622</v>
      </c>
    </row>
    <row r="7" spans="1:12" x14ac:dyDescent="0.2">
      <c r="A7" s="6" t="s">
        <v>5</v>
      </c>
      <c r="B7" s="3">
        <v>2150</v>
      </c>
      <c r="C7" s="3">
        <v>1850</v>
      </c>
      <c r="D7" s="3" t="s">
        <v>11</v>
      </c>
      <c r="E7" s="3">
        <v>60</v>
      </c>
      <c r="F7" s="3">
        <v>1020</v>
      </c>
      <c r="G7" s="3">
        <v>6</v>
      </c>
      <c r="H7" s="3">
        <v>360</v>
      </c>
      <c r="I7" s="3">
        <v>11100</v>
      </c>
      <c r="J7" s="7">
        <v>360</v>
      </c>
      <c r="K7" s="8">
        <v>0.44864864864864867</v>
      </c>
      <c r="L7" s="3">
        <v>830</v>
      </c>
    </row>
    <row r="8" spans="1:12" x14ac:dyDescent="0.2">
      <c r="A8" s="6" t="s">
        <v>5</v>
      </c>
      <c r="B8" s="3">
        <v>2150</v>
      </c>
      <c r="C8" s="3">
        <v>1850</v>
      </c>
      <c r="D8" s="3" t="s">
        <v>12</v>
      </c>
      <c r="E8" s="3">
        <v>60</v>
      </c>
      <c r="F8" s="3">
        <v>1020</v>
      </c>
      <c r="G8" s="3">
        <v>6</v>
      </c>
      <c r="H8" s="3">
        <v>360</v>
      </c>
      <c r="I8" s="3">
        <v>11100</v>
      </c>
      <c r="J8" s="7">
        <v>360</v>
      </c>
      <c r="K8" s="8">
        <v>0.44864864864864867</v>
      </c>
      <c r="L8" s="3">
        <v>830</v>
      </c>
    </row>
    <row r="9" spans="1:12" x14ac:dyDescent="0.2">
      <c r="A9" s="6" t="s">
        <v>14</v>
      </c>
      <c r="B9" s="3">
        <v>2650</v>
      </c>
      <c r="C9" s="3">
        <v>2350</v>
      </c>
      <c r="D9" s="3" t="s">
        <v>15</v>
      </c>
      <c r="E9" s="3">
        <v>85</v>
      </c>
      <c r="F9" s="3">
        <v>1445</v>
      </c>
      <c r="G9" s="3">
        <v>6</v>
      </c>
      <c r="H9" s="3">
        <v>510</v>
      </c>
      <c r="I9" s="3">
        <v>14100</v>
      </c>
      <c r="J9" s="7">
        <v>510</v>
      </c>
      <c r="K9" s="8">
        <v>0.3851063829787234</v>
      </c>
      <c r="L9" s="3">
        <v>905</v>
      </c>
    </row>
    <row r="10" spans="1:12" x14ac:dyDescent="0.2">
      <c r="A10" s="6" t="s">
        <v>14</v>
      </c>
      <c r="B10" s="3">
        <v>2050</v>
      </c>
      <c r="C10" s="3">
        <v>1750</v>
      </c>
      <c r="D10" s="3" t="s">
        <v>16</v>
      </c>
      <c r="E10" s="3">
        <v>55</v>
      </c>
      <c r="F10" s="3">
        <v>935</v>
      </c>
      <c r="G10" s="3">
        <v>6</v>
      </c>
      <c r="H10" s="3">
        <v>330</v>
      </c>
      <c r="I10" s="3">
        <v>10500</v>
      </c>
      <c r="J10" s="7">
        <v>330</v>
      </c>
      <c r="K10" s="8">
        <v>0.46571428571428569</v>
      </c>
      <c r="L10" s="3">
        <v>815</v>
      </c>
    </row>
    <row r="11" spans="1:12" x14ac:dyDescent="0.2">
      <c r="A11" s="6" t="s">
        <v>14</v>
      </c>
      <c r="B11" s="3">
        <v>1950</v>
      </c>
      <c r="C11" s="3">
        <v>1650</v>
      </c>
      <c r="D11" s="3" t="s">
        <v>22</v>
      </c>
      <c r="E11" s="3">
        <v>55</v>
      </c>
      <c r="F11" s="3">
        <v>935</v>
      </c>
      <c r="G11" s="3">
        <v>3</v>
      </c>
      <c r="H11" s="3">
        <v>165</v>
      </c>
      <c r="I11" s="3">
        <v>4950</v>
      </c>
      <c r="J11" s="7">
        <v>165</v>
      </c>
      <c r="K11" s="8">
        <v>0.43333333333333335</v>
      </c>
      <c r="L11" s="3">
        <v>715</v>
      </c>
    </row>
    <row r="12" spans="1:12" x14ac:dyDescent="0.2">
      <c r="A12" s="6" t="s">
        <v>6</v>
      </c>
      <c r="B12" s="3">
        <v>1450</v>
      </c>
      <c r="C12" s="3">
        <v>1150</v>
      </c>
      <c r="D12" s="3" t="s">
        <v>18</v>
      </c>
      <c r="E12" s="3">
        <v>36</v>
      </c>
      <c r="F12" s="3">
        <v>612</v>
      </c>
      <c r="G12" s="3">
        <v>6</v>
      </c>
      <c r="H12" s="3">
        <v>216</v>
      </c>
      <c r="I12" s="3">
        <v>6900</v>
      </c>
      <c r="J12" s="7">
        <v>216</v>
      </c>
      <c r="K12" s="8">
        <v>0.46782608695652173</v>
      </c>
      <c r="L12" s="3">
        <v>538</v>
      </c>
    </row>
    <row r="13" spans="1:12" x14ac:dyDescent="0.2">
      <c r="A13" s="6" t="s">
        <v>17</v>
      </c>
      <c r="B13" s="3">
        <v>1500</v>
      </c>
      <c r="C13" s="3">
        <v>1200</v>
      </c>
      <c r="D13" s="3" t="s">
        <v>19</v>
      </c>
      <c r="E13" s="3">
        <v>35</v>
      </c>
      <c r="F13" s="3">
        <v>595</v>
      </c>
      <c r="G13" s="3">
        <v>6</v>
      </c>
      <c r="H13" s="3">
        <v>210</v>
      </c>
      <c r="I13" s="3">
        <v>7200</v>
      </c>
      <c r="J13" s="7">
        <v>210</v>
      </c>
      <c r="K13" s="8">
        <v>0.50416666666666665</v>
      </c>
      <c r="L13" s="3">
        <v>605</v>
      </c>
    </row>
    <row r="14" spans="1:12" x14ac:dyDescent="0.2">
      <c r="A14" s="6" t="s">
        <v>20</v>
      </c>
      <c r="B14" s="3">
        <v>1850</v>
      </c>
      <c r="C14" s="3">
        <v>1550</v>
      </c>
      <c r="D14" s="3" t="s">
        <v>21</v>
      </c>
      <c r="E14" s="3">
        <v>49</v>
      </c>
      <c r="F14" s="3">
        <v>833</v>
      </c>
      <c r="G14" s="3">
        <v>6</v>
      </c>
      <c r="H14" s="3">
        <v>294</v>
      </c>
      <c r="I14" s="3">
        <v>9300</v>
      </c>
      <c r="J14" s="7">
        <v>294</v>
      </c>
      <c r="K14" s="8">
        <v>0.46258064516129033</v>
      </c>
      <c r="L14" s="3">
        <v>717</v>
      </c>
    </row>
    <row r="15" spans="1:12" ht="21" x14ac:dyDescent="0.2">
      <c r="A15" s="12"/>
      <c r="B15" s="12"/>
      <c r="C15" s="12"/>
      <c r="D15" s="12"/>
      <c r="E15" s="12"/>
      <c r="F15" s="14"/>
      <c r="G15" s="15">
        <f>SUM(G2:G14)</f>
        <v>77</v>
      </c>
      <c r="H15" s="15">
        <f>SUM(H2:H14)</f>
        <v>4211</v>
      </c>
      <c r="I15" s="16">
        <f>SUM(I2:I14)</f>
        <v>134350</v>
      </c>
      <c r="J15" s="15" t="s">
        <v>33</v>
      </c>
      <c r="K15" s="13"/>
      <c r="L15" s="12"/>
    </row>
    <row r="16" spans="1:12" ht="18.75" x14ac:dyDescent="0.2">
      <c r="A16" s="9"/>
      <c r="B16" s="4"/>
      <c r="C16" s="4"/>
      <c r="D16" s="4"/>
      <c r="F16" s="11" t="s">
        <v>25</v>
      </c>
      <c r="G16" s="11"/>
      <c r="H16" s="11"/>
      <c r="I16" s="11">
        <f>I15/17</f>
        <v>7902.9411764705883</v>
      </c>
      <c r="J16" s="11"/>
      <c r="K16" s="10"/>
      <c r="L16" s="4"/>
    </row>
    <row r="17" spans="1:12" ht="18.75" x14ac:dyDescent="0.2">
      <c r="A17" s="9"/>
      <c r="B17" s="4"/>
      <c r="C17" s="4"/>
      <c r="D17" s="4"/>
      <c r="E17" s="4" t="s">
        <v>37</v>
      </c>
      <c r="F17" s="11">
        <v>2100</v>
      </c>
      <c r="G17" s="11"/>
      <c r="H17" s="11"/>
      <c r="I17" s="11">
        <f>I16-F19</f>
        <v>3702.9411764705883</v>
      </c>
      <c r="J17" s="3" t="s">
        <v>35</v>
      </c>
      <c r="K17" s="10"/>
      <c r="L17" s="4"/>
    </row>
    <row r="18" spans="1:12" ht="18.75" x14ac:dyDescent="0.2">
      <c r="A18" s="4"/>
      <c r="B18" s="4"/>
      <c r="C18" s="4"/>
      <c r="D18" s="4"/>
      <c r="E18" s="4" t="s">
        <v>38</v>
      </c>
      <c r="F18" s="11">
        <v>2100</v>
      </c>
      <c r="G18" s="11"/>
      <c r="H18" s="11"/>
      <c r="I18" s="11">
        <f>I17/2</f>
        <v>1851.4705882352941</v>
      </c>
      <c r="J18" s="3" t="s">
        <v>36</v>
      </c>
      <c r="K18" s="10"/>
      <c r="L18" s="4"/>
    </row>
    <row r="19" spans="1:12" ht="18.75" x14ac:dyDescent="0.2">
      <c r="A19" s="4"/>
      <c r="B19" s="4"/>
      <c r="C19" s="4"/>
      <c r="D19" s="4"/>
      <c r="F19" s="11">
        <v>4200</v>
      </c>
      <c r="G19" s="11"/>
      <c r="H19" s="11"/>
      <c r="I19" s="11"/>
      <c r="J19" s="3"/>
      <c r="K19" s="10"/>
      <c r="L19" s="4"/>
    </row>
    <row r="20" spans="1:12" ht="18.75" x14ac:dyDescent="0.2">
      <c r="A20" s="4"/>
      <c r="B20" s="4"/>
      <c r="C20" s="4"/>
      <c r="D20" s="4"/>
      <c r="F20" s="11"/>
      <c r="G20" s="11"/>
      <c r="H20" s="11"/>
      <c r="I20" s="11"/>
      <c r="J20" s="11"/>
      <c r="K20" s="10"/>
      <c r="L20" s="4"/>
    </row>
    <row r="21" spans="1:12" ht="18.75" x14ac:dyDescent="0.2">
      <c r="A21" s="4"/>
      <c r="B21" s="4"/>
      <c r="C21" s="4"/>
      <c r="D21" s="4"/>
      <c r="F21" s="11"/>
      <c r="G21" s="11"/>
      <c r="H21" s="11"/>
      <c r="I21" s="11"/>
      <c r="J21" s="11"/>
      <c r="K21" s="10"/>
      <c r="L21" s="4"/>
    </row>
    <row r="22" spans="1:12" ht="18.75" x14ac:dyDescent="0.2">
      <c r="A22" s="4"/>
      <c r="B22" s="4"/>
      <c r="C22" s="4"/>
      <c r="D22" s="4"/>
      <c r="F22" s="11"/>
      <c r="G22" s="11"/>
      <c r="H22" s="11"/>
      <c r="I22" s="11"/>
      <c r="J22" s="11"/>
      <c r="K22" s="10"/>
      <c r="L22" s="4"/>
    </row>
    <row r="23" spans="1:12" x14ac:dyDescent="0.2">
      <c r="A23" s="4"/>
      <c r="B23" s="4"/>
      <c r="C23" s="4"/>
      <c r="D23" s="4"/>
      <c r="F23" s="4"/>
      <c r="G23" s="4"/>
      <c r="H23" s="4"/>
      <c r="I23" s="4"/>
      <c r="J23" s="4"/>
      <c r="K23" s="10"/>
      <c r="L23" s="4"/>
    </row>
    <row r="24" spans="1:12" x14ac:dyDescent="0.2">
      <c r="A24" s="4"/>
      <c r="B24" s="4"/>
      <c r="C24" s="4"/>
      <c r="D24" s="4"/>
      <c r="F24" s="4"/>
      <c r="G24" s="4"/>
      <c r="H24" s="4"/>
      <c r="I24" s="4"/>
      <c r="J24" s="4"/>
      <c r="K24" s="10"/>
      <c r="L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ragual</dc:creator>
  <dcterms:created xsi:type="dcterms:W3CDTF">2026-09-15T08:37:40Z</dcterms:created>
</cp:coreProperties>
</file>